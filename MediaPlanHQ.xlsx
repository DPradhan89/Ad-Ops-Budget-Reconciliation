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nty\Desktop\data analyst\"/>
    </mc:Choice>
  </mc:AlternateContent>
  <xr:revisionPtr revIDLastSave="0" documentId="13_ncr:1_{4A4D9B37-3C69-4C05-8590-2B8F087FBB65}" xr6:coauthVersionLast="47" xr6:coauthVersionMax="47" xr10:uidLastSave="{00000000-0000-0000-0000-000000000000}"/>
  <bookViews>
    <workbookView xWindow="-108" yWindow="-108" windowWidth="23256" windowHeight="12456" activeTab="2" xr2:uid="{6947B3D1-C034-4228-9FF7-C1ABDC5B4A43}"/>
  </bookViews>
  <sheets>
    <sheet name="Media_Order" sheetId="1" r:id="rId1"/>
    <sheet name="Invoice_Log" sheetId="4" r:id="rId2"/>
    <sheet name="Budget_Summary" sheetId="3" r:id="rId3"/>
  </sheets>
  <definedNames>
    <definedName name="_xlnm._FilterDatabase" localSheetId="0" hidden="1">Media_Order!$A$1:$H$1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3" l="1" a="1"/>
  <c r="E2" i="3" s="1"/>
  <c r="J3" i="1"/>
  <c r="J4" i="1"/>
  <c r="J5" i="1"/>
  <c r="J6" i="1"/>
  <c r="J7" i="1"/>
  <c r="J8" i="1"/>
  <c r="J9" i="1"/>
  <c r="J10" i="1"/>
  <c r="J11" i="1"/>
  <c r="J2" i="1"/>
  <c r="I2" i="1"/>
  <c r="I3" i="1"/>
  <c r="I4" i="1"/>
  <c r="I5" i="1"/>
  <c r="I6" i="1"/>
  <c r="I7" i="1"/>
  <c r="I8" i="1"/>
  <c r="I9" i="1"/>
  <c r="I10" i="1"/>
  <c r="I11" i="1"/>
  <c r="G2" i="3"/>
  <c r="I2" i="3" s="1"/>
  <c r="L9" i="4"/>
  <c r="L8" i="4"/>
  <c r="L7" i="4"/>
  <c r="L6" i="4"/>
  <c r="L5" i="4"/>
  <c r="L4" i="4"/>
  <c r="L3" i="4"/>
  <c r="L2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<sst xmlns="http://schemas.openxmlformats.org/spreadsheetml/2006/main" count="162" uniqueCount="89">
  <si>
    <t>Order_ID</t>
  </si>
  <si>
    <t>Market</t>
  </si>
  <si>
    <t>Brand</t>
  </si>
  <si>
    <t>Vendor_Station</t>
  </si>
  <si>
    <t>Media_Type</t>
  </si>
  <si>
    <t>Flight_Start</t>
  </si>
  <si>
    <t>Flight_End</t>
  </si>
  <si>
    <t>Approved_Budget</t>
  </si>
  <si>
    <t>MP-1001</t>
  </si>
  <si>
    <t>Chicago</t>
  </si>
  <si>
    <t>Apex Auto</t>
  </si>
  <si>
    <t>WCHI-TV</t>
  </si>
  <si>
    <t>TV</t>
  </si>
  <si>
    <t>MP-1002</t>
  </si>
  <si>
    <t>KLOOP-FM</t>
  </si>
  <si>
    <t>Radio</t>
  </si>
  <si>
    <t>MP-1003</t>
  </si>
  <si>
    <t>Beacon Health</t>
  </si>
  <si>
    <t>MP-1004</t>
  </si>
  <si>
    <t>Dallas</t>
  </si>
  <si>
    <t>KDAL-TV</t>
  </si>
  <si>
    <t>MP-1005</t>
  </si>
  <si>
    <t>LoneStar Outdoor</t>
  </si>
  <si>
    <t>OOH</t>
  </si>
  <si>
    <t>MP-1006</t>
  </si>
  <si>
    <t>KDAL-FM</t>
  </si>
  <si>
    <t>MP-1007</t>
  </si>
  <si>
    <t>Miami</t>
  </si>
  <si>
    <t>WMIA-TV</t>
  </si>
  <si>
    <t>MP-1008</t>
  </si>
  <si>
    <t>SunCoast Digital</t>
  </si>
  <si>
    <t>Digital</t>
  </si>
  <si>
    <t>MP-1009</t>
  </si>
  <si>
    <t>WindyCity OOH</t>
  </si>
  <si>
    <t>MP-1010</t>
  </si>
  <si>
    <t>Tropics Radio</t>
  </si>
  <si>
    <t>Invoice_Num</t>
  </si>
  <si>
    <t>Vendor_Name</t>
  </si>
  <si>
    <t>Invoice_Date</t>
  </si>
  <si>
    <t>Billed_Start</t>
  </si>
  <si>
    <t>Billed_End</t>
  </si>
  <si>
    <t>Billed_Amount</t>
  </si>
  <si>
    <t>Raw_Filename</t>
  </si>
  <si>
    <t>INV-8801</t>
  </si>
  <si>
    <t>wchi_sep_bill.pdf</t>
  </si>
  <si>
    <t>INV-4092</t>
  </si>
  <si>
    <t>KLOOP_9_2026.pdf</t>
  </si>
  <si>
    <t>INV-8805</t>
  </si>
  <si>
    <t>wchi_beacon_sep.pdf</t>
  </si>
  <si>
    <t>INV-3110</t>
  </si>
  <si>
    <t>KDAL_Invoice_3110.pdf</t>
  </si>
  <si>
    <t>INV-901</t>
  </si>
  <si>
    <t>lonestar_0926.pdf</t>
  </si>
  <si>
    <t>INV-772</t>
  </si>
  <si>
    <t>kdalfm_772.pdf</t>
  </si>
  <si>
    <t>INV-5501</t>
  </si>
  <si>
    <t>WMIA_5501.pdf</t>
  </si>
  <si>
    <t>INV-104</t>
  </si>
  <si>
    <t>windycity_inv104.pdf</t>
  </si>
  <si>
    <t>INV-999</t>
  </si>
  <si>
    <t>MP-1015</t>
  </si>
  <si>
    <t>Metro Billboard Co</t>
  </si>
  <si>
    <t>metro_billboard_sep.pdf</t>
  </si>
  <si>
    <t>Grand Total</t>
  </si>
  <si>
    <t>Sum of Approved_Budget</t>
  </si>
  <si>
    <t>Total_Bill</t>
  </si>
  <si>
    <t>Invoice_Recived</t>
  </si>
  <si>
    <t>Variance</t>
  </si>
  <si>
    <t>Audit_Status</t>
  </si>
  <si>
    <t>Approved</t>
  </si>
  <si>
    <t>Discrepancy(Overcharged)</t>
  </si>
  <si>
    <t>Discrepancy(Date mismatch)</t>
  </si>
  <si>
    <t>Filename</t>
  </si>
  <si>
    <t>market</t>
  </si>
  <si>
    <t>Planned_Budget</t>
  </si>
  <si>
    <t>NOT FOUND</t>
  </si>
  <si>
    <t>MP-1015_INV-999.pdf</t>
  </si>
  <si>
    <t>Approved_Invoice_Amount</t>
  </si>
  <si>
    <t>Gross_Invoice_Amount</t>
  </si>
  <si>
    <t>Remaining / Unbilled_Balance</t>
  </si>
  <si>
    <t>Discrepancy(There is no record in Media_Order)</t>
  </si>
  <si>
    <t>ApexAuto_Chicago_MP-1001_INV-8801.pdf</t>
  </si>
  <si>
    <t>ApexAuto_Chicago_MP-1002_INV-4092.pdf</t>
  </si>
  <si>
    <t>BeaconHealth_Chicago_MP-1003_INV-8805.pdf</t>
  </si>
  <si>
    <t>ApexAuto_Dallas_MP-1004_INV-3110.pdf</t>
  </si>
  <si>
    <t>BeaconHealth_Dallas_MP-1005_INV-901.pdf</t>
  </si>
  <si>
    <t>BeaconHealth_Dallas_MP-1006_INV-772.pdf</t>
  </si>
  <si>
    <t>ApexAuto_Miami_MP-1007_INV-5501.pdf</t>
  </si>
  <si>
    <t>BeaconHealth_Chicago_MP-1009_INV-104.pdf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</si>
</sst>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_-[$$-409]* #,##0.00_ ;_-[$$-409]* \-#,##0.00\ ;_-[$$-409]* &quot;-&quot;??_ ;_-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00206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164" fontId="0" fillId="0" borderId="0" xfId="0" applyNumberFormat="1"/>
    <xf numFmtId="0" fontId="2" fillId="2" borderId="3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49" fontId="0" fillId="0" borderId="4" xfId="0" applyNumberFormat="1" applyBorder="1"/>
    <xf numFmtId="14" fontId="0" fillId="0" borderId="4" xfId="0" applyNumberFormat="1" applyBorder="1"/>
    <xf numFmtId="164" fontId="0" fillId="0" borderId="5" xfId="0" applyNumberFormat="1" applyBorder="1"/>
    <xf numFmtId="49" fontId="0" fillId="0" borderId="1" xfId="0" applyNumberFormat="1" applyBorder="1"/>
    <xf numFmtId="14" fontId="0" fillId="0" borderId="1" xfId="0" applyNumberFormat="1" applyBorder="1"/>
    <xf numFmtId="164" fontId="0" fillId="0" borderId="2" xfId="0" applyNumberFormat="1" applyBorder="1"/>
    <xf numFmtId="0" fontId="2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4" fontId="0" fillId="0" borderId="0" xfId="0" applyNumberFormat="1"/>
    <xf numFmtId="164" fontId="0" fillId="0" borderId="0" xfId="1" applyNumberFormat="1" applyFont="1"/>
    <xf numFmtId="0" fontId="3" fillId="3" borderId="0" xfId="0" applyFont="1" applyFill="1"/>
    <xf numFmtId="49" fontId="0" fillId="0" borderId="0" xfId="0" applyNumberFormat="1"/>
  </cellXfs>
  <cellStyles count="2">
    <cellStyle name="Currency" xfId="1" builtinId="4"/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numFmt numFmtId="164" formatCode="_-[$$-409]* #,##0.00_ ;_-[$$-409]* \-#,##0.00\ ;_-[$$-409]* &quot;-&quot;??_ ;_-@_ 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$-409]* #,##0.00_ ;_-[$$-409]* \-#,##0.00\ ;_-[$$-409]* &quot;-&quot;??_ ;_-@_ "/>
      <fill>
        <patternFill patternType="none">
          <fgColor indexed="64"/>
          <bgColor indexed="65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164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$-409]* #,##0.00_ ;_-[$$-409]* \-#,##0.00\ ;_-[$$-409]* &quot;-&quot;??_ ;_-@_ 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$-409]* #,##0.00_ ;_-[$$-409]* \-#,##0.00\ ;_-[$$-409]* &quot;-&quot;??_ ;_-@_ 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haramvir Pradhan" refreshedDate="46309.445001388885" createdVersion="8" refreshedVersion="8" minRefreshableVersion="3" recordCount="10" xr:uid="{F8EA3F68-721A-4BA6-971A-BA0F363EA779}">
  <cacheSource type="worksheet">
    <worksheetSource name="MediaOrder"/>
  </cacheSource>
  <cacheFields count="10">
    <cacheField name="Order_ID" numFmtId="49">
      <sharedItems/>
    </cacheField>
    <cacheField name="Market" numFmtId="49">
      <sharedItems count="3">
        <s v="Chicago"/>
        <s v="Dallas"/>
        <s v="Miami"/>
      </sharedItems>
    </cacheField>
    <cacheField name="Brand" numFmtId="49">
      <sharedItems count="2">
        <s v="Apex Auto"/>
        <s v="Beacon Health"/>
      </sharedItems>
    </cacheField>
    <cacheField name="Vendor_Station" numFmtId="49">
      <sharedItems/>
    </cacheField>
    <cacheField name="Media_Type" numFmtId="49">
      <sharedItems/>
    </cacheField>
    <cacheField name="Flight_Start" numFmtId="14">
      <sharedItems containsSemiMixedTypes="0" containsNonDate="0" containsDate="1" containsString="0" minDate="2026-09-01T00:00:00" maxDate="2026-09-16T00:00:00"/>
    </cacheField>
    <cacheField name="Flight_End" numFmtId="14">
      <sharedItems containsSemiMixedTypes="0" containsNonDate="0" containsDate="1" containsString="0" minDate="2026-09-30T00:00:00" maxDate="2026-10-01T00:00:00"/>
    </cacheField>
    <cacheField name="Approved_Budget" numFmtId="164">
      <sharedItems containsSemiMixedTypes="0" containsString="0" containsNumber="1" containsInteger="1" minValue="2800" maxValue="15000"/>
    </cacheField>
    <cacheField name="Invoice_Recived" numFmtId="0">
      <sharedItems/>
    </cacheField>
    <cacheField name="Total_Bill" numFmtId="164">
      <sharedItems containsSemiMixedTypes="0" containsString="0" containsNumber="1" containsInteger="1" minValue="0" maxValue="1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MP-1001"/>
    <x v="0"/>
    <x v="0"/>
    <s v="WCHI-TV"/>
    <s v="TV"/>
    <d v="2026-09-01T00:00:00"/>
    <d v="2026-09-30T00:00:00"/>
    <n v="12000"/>
    <s v="INV-8801"/>
    <n v="12000"/>
  </r>
  <r>
    <s v="MP-1002"/>
    <x v="0"/>
    <x v="0"/>
    <s v="KLOOP-FM"/>
    <s v="Radio"/>
    <d v="2026-09-01T00:00:00"/>
    <d v="2026-09-30T00:00:00"/>
    <n v="4500"/>
    <s v="INV-4092"/>
    <n v="4850"/>
  </r>
  <r>
    <s v="MP-1003"/>
    <x v="0"/>
    <x v="1"/>
    <s v="WCHI-TV"/>
    <s v="TV"/>
    <d v="2026-09-01T00:00:00"/>
    <d v="2026-09-30T00:00:00"/>
    <n v="8200"/>
    <s v="INV-8805"/>
    <n v="8200"/>
  </r>
  <r>
    <s v="MP-1004"/>
    <x v="1"/>
    <x v="0"/>
    <s v="KDAL-TV"/>
    <s v="TV"/>
    <d v="2026-09-01T00:00:00"/>
    <d v="2026-09-30T00:00:00"/>
    <n v="15000"/>
    <s v="INV-3110"/>
    <n v="15000"/>
  </r>
  <r>
    <s v="MP-1005"/>
    <x v="1"/>
    <x v="1"/>
    <s v="LoneStar Outdoor"/>
    <s v="OOH"/>
    <d v="2026-09-01T00:00:00"/>
    <d v="2026-09-30T00:00:00"/>
    <n v="6000"/>
    <s v="INV-901"/>
    <n v="6000"/>
  </r>
  <r>
    <s v="MP-1006"/>
    <x v="1"/>
    <x v="1"/>
    <s v="KDAL-FM"/>
    <s v="Radio"/>
    <d v="2026-09-01T00:00:00"/>
    <d v="2026-09-30T00:00:00"/>
    <n v="3200"/>
    <s v="INV-772"/>
    <n v="3200"/>
  </r>
  <r>
    <s v="MP-1007"/>
    <x v="2"/>
    <x v="0"/>
    <s v="WMIA-TV"/>
    <s v="TV"/>
    <d v="2026-09-01T00:00:00"/>
    <d v="2026-09-30T00:00:00"/>
    <n v="9500"/>
    <s v="INV-5501"/>
    <n v="9500"/>
  </r>
  <r>
    <s v="MP-1008"/>
    <x v="2"/>
    <x v="1"/>
    <s v="SunCoast Digital"/>
    <s v="Digital"/>
    <d v="2026-09-01T00:00:00"/>
    <d v="2026-09-30T00:00:00"/>
    <n v="5400"/>
    <s v="No Invoice"/>
    <n v="0"/>
  </r>
  <r>
    <s v="MP-1009"/>
    <x v="0"/>
    <x v="1"/>
    <s v="WindyCity OOH"/>
    <s v="OOH"/>
    <d v="2026-09-15T00:00:00"/>
    <d v="2026-09-30T00:00:00"/>
    <n v="4000"/>
    <s v="INV-104"/>
    <n v="4000"/>
  </r>
  <r>
    <s v="MP-1010"/>
    <x v="2"/>
    <x v="0"/>
    <s v="Tropics Radio"/>
    <s v="Radio"/>
    <d v="2026-09-15T00:00:00"/>
    <d v="2026-09-30T00:00:00"/>
    <n v="2800"/>
    <s v="No Invoice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58E7A6-03E3-4715-8662-5835B24C40E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arket">
  <location ref="A2:B12" firstHeaderRow="1" firstDataRow="1" firstDataCol="1"/>
  <pivotFields count="10"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numFmtId="14" showAll="0"/>
    <pivotField numFmtId="14" showAll="0"/>
    <pivotField dataField="1" numFmtId="164" showAll="0"/>
    <pivotField showAll="0"/>
    <pivotField numFmtId="164" showAll="0"/>
  </pivotFields>
  <rowFields count="2">
    <field x="1"/>
    <field x="2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Items count="1">
    <i/>
  </colItems>
  <dataFields count="1">
    <dataField name="Sum of Approved_Budget" fld="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2D22621-7CBE-4E81-839E-11793EB703D8}" name="MediaOrder" displayName="MediaOrder" ref="A1:J11" totalsRowShown="0" headerRowDxfId="12" tableBorderDxfId="11">
  <autoFilter ref="A1:J11" xr:uid="{52D22621-7CBE-4E81-839E-11793EB703D8}"/>
  <tableColumns count="10">
    <tableColumn id="1" xr3:uid="{8638E68B-4E10-4956-9D51-1F205A3A6B80}" name="Order_ID" dataDxfId="10"/>
    <tableColumn id="2" xr3:uid="{D5106B4E-19A0-4F1A-8A0B-52AC70EF3849}" name="Market" dataDxfId="9"/>
    <tableColumn id="3" xr3:uid="{8EA7AC18-04CE-4C89-9869-93CC246AC6EF}" name="Brand" dataDxfId="8"/>
    <tableColumn id="4" xr3:uid="{8056FDFA-717A-417C-A2B0-98C626A0C298}" name="Vendor_Station" dataDxfId="7"/>
    <tableColumn id="5" xr3:uid="{0E977405-F57D-490E-B3E3-B4E87BBB9E27}" name="Media_Type" dataDxfId="6"/>
    <tableColumn id="6" xr3:uid="{FE39FFBD-8610-4B83-BE52-CFBFECE66BEC}" name="Flight_Start" dataDxfId="5"/>
    <tableColumn id="7" xr3:uid="{CAD10089-C89C-40FD-8C24-E460FA46BE3F}" name="Flight_End" dataDxfId="4"/>
    <tableColumn id="8" xr3:uid="{FE773625-049D-446B-91EE-4C3BF76D10D4}" name="Approved_Budget" dataDxfId="3"/>
    <tableColumn id="9" xr3:uid="{DB2E81D7-ACAD-4388-8A99-2B3FE3A39EBC}" name="Invoice_Recived" dataDxfId="2">
      <calculatedColumnFormula>_xlfn.XLOOKUP(A2,InvoiceLog[Order_ID],InvoiceLog[Invoice_Num], "Missing Invoice")</calculatedColumnFormula>
    </tableColumn>
    <tableColumn id="10" xr3:uid="{202F215E-A273-4606-A8F4-22DF51399819}" name="Total_Bill" dataDxfId="1">
      <calculatedColumnFormula>SUMIFS(InvoiceLog[Billed_Amount],InvoiceLog[Invoice_Num],MediaOrder[[#This Row],[Invoice_Recived]])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1966D01-CA40-4A76-996A-3F2A2AF779BB}" name="InvoiceLog" displayName="InvoiceLog" ref="A1:N10" totalsRowShown="0" headerRowDxfId="24">
  <autoFilter ref="A1:N10" xr:uid="{E1966D01-CA40-4A76-996A-3F2A2AF779BB}"/>
  <tableColumns count="14">
    <tableColumn id="1" xr3:uid="{BF2255C2-F524-4C4C-8957-28BFE785E807}" name="Invoice_Num" dataDxfId="23"/>
    <tableColumn id="2" xr3:uid="{E6C19AEB-BD8D-4479-8542-EC1D74AE4C81}" name="Order_ID" dataDxfId="22"/>
    <tableColumn id="3" xr3:uid="{01D0A57C-1744-4233-AC22-31631DAD359C}" name="Vendor_Name" dataDxfId="21"/>
    <tableColumn id="4" xr3:uid="{86B015F6-AB64-42EF-A0B9-CA8BE602F0E9}" name="Invoice_Date" dataDxfId="20"/>
    <tableColumn id="5" xr3:uid="{92754914-D598-4CD1-9EA6-07B47B16F27A}" name="Billed_Start" dataDxfId="19"/>
    <tableColumn id="6" xr3:uid="{200CEB39-6D76-4035-8B3C-2AAF015E4C3E}" name="Billed_End" dataDxfId="18"/>
    <tableColumn id="7" xr3:uid="{7D97A7B2-12BD-471A-8C6F-A43FC2DD0D8A}" name="Billed_Amount" dataDxfId="17"/>
    <tableColumn id="8" xr3:uid="{A2204411-204F-48C8-9DA0-15D6DBD61A0E}" name="Raw_Filename" dataDxfId="16"/>
    <tableColumn id="9" xr3:uid="{4A5AAB83-8BF8-4684-B29B-C7CD31CDD67E}" name="Brand" dataDxfId="15"/>
    <tableColumn id="10" xr3:uid="{6758FC64-BC9A-432E-8EE7-A9AE9E4194F9}" name="Market"/>
    <tableColumn id="11" xr3:uid="{86DFF865-F1B5-494C-A474-4DB70BE716E0}" name="Approved_Budget" dataDxfId="14" dataCellStyle="Currency"/>
    <tableColumn id="12" xr3:uid="{95EA7FFE-EB06-4155-9431-185025A8A13D}" name="Variance" dataDxfId="13"/>
    <tableColumn id="13" xr3:uid="{53DB846A-7531-48DB-A28C-2D4B4FD30223}" name="Audit_Status"/>
    <tableColumn id="14" xr3:uid="{04DEDB97-2301-4158-B8F4-87EF5DA726B6}" name="File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1C9CF-09DB-4CCF-9D75-5950119B8538}">
  <dimension ref="A1:J11"/>
  <sheetViews>
    <sheetView workbookViewId="0">
      <selection activeCell="L3" sqref="L3"/>
    </sheetView>
  </sheetViews>
  <sheetFormatPr defaultRowHeight="14.4" x14ac:dyDescent="0.3"/>
  <cols>
    <col min="1" max="1" width="12.5546875" bestFit="1" customWidth="1"/>
    <col min="2" max="2" width="16.44140625" customWidth="1"/>
    <col min="3" max="3" width="12.88671875" customWidth="1"/>
    <col min="4" max="4" width="16.109375" customWidth="1"/>
    <col min="5" max="5" width="13.33203125" customWidth="1"/>
    <col min="6" max="6" width="12.44140625" customWidth="1"/>
    <col min="7" max="7" width="11.6640625" customWidth="1"/>
    <col min="8" max="8" width="18.21875" customWidth="1"/>
    <col min="9" max="9" width="16.5546875" customWidth="1"/>
    <col min="10" max="10" width="11.109375" bestFit="1" customWidth="1"/>
  </cols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11" t="s">
        <v>66</v>
      </c>
      <c r="J1" s="11" t="s">
        <v>65</v>
      </c>
    </row>
    <row r="2" spans="1:10" x14ac:dyDescent="0.3">
      <c r="A2" s="5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6">
        <v>46266</v>
      </c>
      <c r="G2" s="6">
        <v>46295</v>
      </c>
      <c r="H2" s="7">
        <v>12000</v>
      </c>
      <c r="I2" t="str">
        <f>_xlfn.XLOOKUP(A2,InvoiceLog[Order_ID],InvoiceLog[Invoice_Num], "Missing Invoice")</f>
        <v>INV-8801</v>
      </c>
      <c r="J2" s="1">
        <f>SUMIFS(InvoiceLog[Billed_Amount],InvoiceLog[Invoice_Num],MediaOrder[[#This Row],[Invoice_Recived]])</f>
        <v>12000</v>
      </c>
    </row>
    <row r="3" spans="1:10" x14ac:dyDescent="0.3">
      <c r="A3" s="5" t="s">
        <v>13</v>
      </c>
      <c r="B3" s="5" t="s">
        <v>9</v>
      </c>
      <c r="C3" s="5" t="s">
        <v>10</v>
      </c>
      <c r="D3" s="5" t="s">
        <v>14</v>
      </c>
      <c r="E3" s="5" t="s">
        <v>15</v>
      </c>
      <c r="F3" s="6">
        <v>46266</v>
      </c>
      <c r="G3" s="6">
        <v>46295</v>
      </c>
      <c r="H3" s="7">
        <v>4500</v>
      </c>
      <c r="I3" t="str">
        <f>_xlfn.XLOOKUP(A3,InvoiceLog[Order_ID],InvoiceLog[Invoice_Num], "Missing Invoice")</f>
        <v>INV-4092</v>
      </c>
      <c r="J3" s="1">
        <f>SUMIFS(InvoiceLog[Billed_Amount],InvoiceLog[Invoice_Num],MediaOrder[[#This Row],[Invoice_Recived]])</f>
        <v>4850</v>
      </c>
    </row>
    <row r="4" spans="1:10" x14ac:dyDescent="0.3">
      <c r="A4" s="5" t="s">
        <v>16</v>
      </c>
      <c r="B4" s="5" t="s">
        <v>9</v>
      </c>
      <c r="C4" s="5" t="s">
        <v>17</v>
      </c>
      <c r="D4" s="5" t="s">
        <v>11</v>
      </c>
      <c r="E4" s="5" t="s">
        <v>12</v>
      </c>
      <c r="F4" s="6">
        <v>46266</v>
      </c>
      <c r="G4" s="6">
        <v>46295</v>
      </c>
      <c r="H4" s="7">
        <v>8200</v>
      </c>
      <c r="I4" t="str">
        <f>_xlfn.XLOOKUP(A4,InvoiceLog[Order_ID],InvoiceLog[Invoice_Num], "Missing Invoice")</f>
        <v>INV-8805</v>
      </c>
      <c r="J4" s="1">
        <f>SUMIFS(InvoiceLog[Billed_Amount],InvoiceLog[Invoice_Num],MediaOrder[[#This Row],[Invoice_Recived]])</f>
        <v>8200</v>
      </c>
    </row>
    <row r="5" spans="1:10" x14ac:dyDescent="0.3">
      <c r="A5" s="5" t="s">
        <v>18</v>
      </c>
      <c r="B5" s="5" t="s">
        <v>19</v>
      </c>
      <c r="C5" s="5" t="s">
        <v>10</v>
      </c>
      <c r="D5" s="5" t="s">
        <v>20</v>
      </c>
      <c r="E5" s="5" t="s">
        <v>12</v>
      </c>
      <c r="F5" s="6">
        <v>46266</v>
      </c>
      <c r="G5" s="6">
        <v>46295</v>
      </c>
      <c r="H5" s="7">
        <v>15000</v>
      </c>
      <c r="I5" t="str">
        <f>_xlfn.XLOOKUP(A5,InvoiceLog[Order_ID],InvoiceLog[Invoice_Num], "Missing Invoice")</f>
        <v>INV-3110</v>
      </c>
      <c r="J5" s="1">
        <f>SUMIFS(InvoiceLog[Billed_Amount],InvoiceLog[Invoice_Num],MediaOrder[[#This Row],[Invoice_Recived]])</f>
        <v>15000</v>
      </c>
    </row>
    <row r="6" spans="1:10" x14ac:dyDescent="0.3">
      <c r="A6" s="5" t="s">
        <v>21</v>
      </c>
      <c r="B6" s="5" t="s">
        <v>19</v>
      </c>
      <c r="C6" s="5" t="s">
        <v>17</v>
      </c>
      <c r="D6" s="5" t="s">
        <v>22</v>
      </c>
      <c r="E6" s="5" t="s">
        <v>23</v>
      </c>
      <c r="F6" s="6">
        <v>46266</v>
      </c>
      <c r="G6" s="6">
        <v>46295</v>
      </c>
      <c r="H6" s="7">
        <v>6000</v>
      </c>
      <c r="I6" t="str">
        <f>_xlfn.XLOOKUP(A6,InvoiceLog[Order_ID],InvoiceLog[Invoice_Num], "Missing Invoice")</f>
        <v>INV-901</v>
      </c>
      <c r="J6" s="1">
        <f>SUMIFS(InvoiceLog[Billed_Amount],InvoiceLog[Invoice_Num],MediaOrder[[#This Row],[Invoice_Recived]])</f>
        <v>6000</v>
      </c>
    </row>
    <row r="7" spans="1:10" x14ac:dyDescent="0.3">
      <c r="A7" s="5" t="s">
        <v>24</v>
      </c>
      <c r="B7" s="5" t="s">
        <v>19</v>
      </c>
      <c r="C7" s="5" t="s">
        <v>17</v>
      </c>
      <c r="D7" s="5" t="s">
        <v>25</v>
      </c>
      <c r="E7" s="5" t="s">
        <v>15</v>
      </c>
      <c r="F7" s="6">
        <v>46266</v>
      </c>
      <c r="G7" s="6">
        <v>46295</v>
      </c>
      <c r="H7" s="7">
        <v>3200</v>
      </c>
      <c r="I7" t="str">
        <f>_xlfn.XLOOKUP(A7,InvoiceLog[Order_ID],InvoiceLog[Invoice_Num], "Missing Invoice")</f>
        <v>INV-772</v>
      </c>
      <c r="J7" s="1">
        <f>SUMIFS(InvoiceLog[Billed_Amount],InvoiceLog[Invoice_Num],MediaOrder[[#This Row],[Invoice_Recived]])</f>
        <v>3200</v>
      </c>
    </row>
    <row r="8" spans="1:10" x14ac:dyDescent="0.3">
      <c r="A8" s="5" t="s">
        <v>26</v>
      </c>
      <c r="B8" s="5" t="s">
        <v>27</v>
      </c>
      <c r="C8" s="5" t="s">
        <v>10</v>
      </c>
      <c r="D8" s="5" t="s">
        <v>28</v>
      </c>
      <c r="E8" s="5" t="s">
        <v>12</v>
      </c>
      <c r="F8" s="6">
        <v>46266</v>
      </c>
      <c r="G8" s="6">
        <v>46295</v>
      </c>
      <c r="H8" s="7">
        <v>9500</v>
      </c>
      <c r="I8" t="str">
        <f>_xlfn.XLOOKUP(A8,InvoiceLog[Order_ID],InvoiceLog[Invoice_Num], "Missing Invoice")</f>
        <v>INV-5501</v>
      </c>
      <c r="J8" s="1">
        <f>SUMIFS(InvoiceLog[Billed_Amount],InvoiceLog[Invoice_Num],MediaOrder[[#This Row],[Invoice_Recived]])</f>
        <v>9500</v>
      </c>
    </row>
    <row r="9" spans="1:10" x14ac:dyDescent="0.3">
      <c r="A9" s="5" t="s">
        <v>29</v>
      </c>
      <c r="B9" s="5" t="s">
        <v>27</v>
      </c>
      <c r="C9" s="5" t="s">
        <v>17</v>
      </c>
      <c r="D9" s="5" t="s">
        <v>30</v>
      </c>
      <c r="E9" s="5" t="s">
        <v>31</v>
      </c>
      <c r="F9" s="6">
        <v>46266</v>
      </c>
      <c r="G9" s="6">
        <v>46295</v>
      </c>
      <c r="H9" s="7">
        <v>5400</v>
      </c>
      <c r="I9" t="str">
        <f>_xlfn.XLOOKUP(A9,InvoiceLog[Order_ID],InvoiceLog[Invoice_Num], "Missing Invoice")</f>
        <v>Missing Invoice</v>
      </c>
      <c r="J9" s="1">
        <f>SUMIFS(InvoiceLog[Billed_Amount],InvoiceLog[Invoice_Num],MediaOrder[[#This Row],[Invoice_Recived]])</f>
        <v>0</v>
      </c>
    </row>
    <row r="10" spans="1:10" x14ac:dyDescent="0.3">
      <c r="A10" s="5" t="s">
        <v>32</v>
      </c>
      <c r="B10" s="5" t="s">
        <v>9</v>
      </c>
      <c r="C10" s="5" t="s">
        <v>17</v>
      </c>
      <c r="D10" s="5" t="s">
        <v>33</v>
      </c>
      <c r="E10" s="5" t="s">
        <v>23</v>
      </c>
      <c r="F10" s="6">
        <v>46280</v>
      </c>
      <c r="G10" s="6">
        <v>46295</v>
      </c>
      <c r="H10" s="7">
        <v>4000</v>
      </c>
      <c r="I10" t="str">
        <f>_xlfn.XLOOKUP(A10,InvoiceLog[Order_ID],InvoiceLog[Invoice_Num], "Missing Invoice")</f>
        <v>INV-104</v>
      </c>
      <c r="J10" s="1">
        <f>SUMIFS(InvoiceLog[Billed_Amount],InvoiceLog[Invoice_Num],MediaOrder[[#This Row],[Invoice_Recived]])</f>
        <v>4000</v>
      </c>
    </row>
    <row r="11" spans="1:10" x14ac:dyDescent="0.3">
      <c r="A11" s="8" t="s">
        <v>34</v>
      </c>
      <c r="B11" s="8" t="s">
        <v>27</v>
      </c>
      <c r="C11" s="8" t="s">
        <v>10</v>
      </c>
      <c r="D11" s="8" t="s">
        <v>35</v>
      </c>
      <c r="E11" s="8" t="s">
        <v>15</v>
      </c>
      <c r="F11" s="9">
        <v>46280</v>
      </c>
      <c r="G11" s="9">
        <v>46295</v>
      </c>
      <c r="H11" s="10">
        <v>2800</v>
      </c>
      <c r="I11" t="str">
        <f>_xlfn.XLOOKUP(A11,InvoiceLog[Order_ID],InvoiceLog[Invoice_Num], "Missing Invoice")</f>
        <v>Missing Invoice</v>
      </c>
      <c r="J11" s="1">
        <f>SUMIFS(InvoiceLog[Billed_Amount],InvoiceLog[Invoice_Num],MediaOrder[[#This Row],[Invoice_Recived]])</f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E151B-2901-4FE1-93AE-440BE3C743E8}">
  <dimension ref="A1:N10"/>
  <sheetViews>
    <sheetView workbookViewId="0">
      <selection activeCell="C12" sqref="C12"/>
    </sheetView>
  </sheetViews>
  <sheetFormatPr defaultRowHeight="14.4" x14ac:dyDescent="0.3"/>
  <cols>
    <col min="1" max="1" width="14.109375" customWidth="1"/>
    <col min="2" max="2" width="10.44140625" customWidth="1"/>
    <col min="3" max="3" width="15.109375" customWidth="1"/>
    <col min="4" max="4" width="13.88671875" customWidth="1"/>
    <col min="5" max="5" width="12.44140625" customWidth="1"/>
    <col min="6" max="6" width="11.6640625" customWidth="1"/>
    <col min="7" max="7" width="15.33203125" customWidth="1"/>
    <col min="8" max="8" width="15" customWidth="1"/>
    <col min="9" max="9" width="12.88671875" bestFit="1" customWidth="1"/>
    <col min="10" max="10" width="9" customWidth="1"/>
    <col min="11" max="11" width="18.21875" customWidth="1"/>
    <col min="12" max="12" width="10.21875" customWidth="1"/>
    <col min="13" max="13" width="40.21875" bestFit="1" customWidth="1"/>
    <col min="14" max="14" width="41.33203125" bestFit="1" customWidth="1"/>
  </cols>
  <sheetData>
    <row r="1" spans="1:14" x14ac:dyDescent="0.3">
      <c r="A1" s="2" t="s">
        <v>36</v>
      </c>
      <c r="B1" s="3" t="s">
        <v>0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41</v>
      </c>
      <c r="H1" s="4" t="s">
        <v>42</v>
      </c>
      <c r="I1" s="11" t="s">
        <v>2</v>
      </c>
      <c r="J1" s="11" t="s">
        <v>1</v>
      </c>
      <c r="K1" s="11" t="s">
        <v>7</v>
      </c>
      <c r="L1" s="11" t="s">
        <v>67</v>
      </c>
      <c r="M1" s="11" t="s">
        <v>68</v>
      </c>
      <c r="N1" s="11" t="s">
        <v>72</v>
      </c>
    </row>
    <row r="2" spans="1:14" x14ac:dyDescent="0.3">
      <c r="A2" t="s">
        <v>43</v>
      </c>
      <c r="B2" t="s">
        <v>8</v>
      </c>
      <c r="C2" t="s">
        <v>11</v>
      </c>
      <c r="D2" s="15">
        <v>46297</v>
      </c>
      <c r="E2" s="15">
        <v>46266</v>
      </c>
      <c r="F2" s="15">
        <v>46295</v>
      </c>
      <c r="G2" s="1">
        <v>12000</v>
      </c>
      <c r="H2" t="s">
        <v>44</v>
      </c>
      <c r="I2" s="18" t="s">
        <v>10</v>
      </c>
      <c r="J2" t="s">
        <v>9</v>
      </c>
      <c r="K2" s="16">
        <v>12000</v>
      </c>
      <c r="L2" s="1">
        <f t="shared" ref="L2:L9" si="0">G2-K2</f>
        <v>0</v>
      </c>
      <c r="M2" t="s">
        <v>69</v>
      </c>
      <c r="N2" t="s">
        <v>81</v>
      </c>
    </row>
    <row r="3" spans="1:14" x14ac:dyDescent="0.3">
      <c r="A3" t="s">
        <v>45</v>
      </c>
      <c r="B3" t="s">
        <v>13</v>
      </c>
      <c r="C3" t="s">
        <v>14</v>
      </c>
      <c r="D3" s="15">
        <v>46298</v>
      </c>
      <c r="E3" s="15">
        <v>46266</v>
      </c>
      <c r="F3" s="15">
        <v>46295</v>
      </c>
      <c r="G3" s="1">
        <v>4850</v>
      </c>
      <c r="H3" t="s">
        <v>46</v>
      </c>
      <c r="I3" s="18" t="s">
        <v>10</v>
      </c>
      <c r="J3" t="s">
        <v>9</v>
      </c>
      <c r="K3" s="16">
        <v>4500</v>
      </c>
      <c r="L3" s="1">
        <f t="shared" si="0"/>
        <v>350</v>
      </c>
      <c r="M3" t="s">
        <v>70</v>
      </c>
      <c r="N3" t="s">
        <v>82</v>
      </c>
    </row>
    <row r="4" spans="1:14" x14ac:dyDescent="0.3">
      <c r="A4" t="s">
        <v>47</v>
      </c>
      <c r="B4" t="s">
        <v>16</v>
      </c>
      <c r="C4" t="s">
        <v>11</v>
      </c>
      <c r="D4" s="15">
        <v>46297</v>
      </c>
      <c r="E4" s="15">
        <v>46266</v>
      </c>
      <c r="F4" s="15">
        <v>46295</v>
      </c>
      <c r="G4" s="1">
        <v>8200</v>
      </c>
      <c r="H4" t="s">
        <v>48</v>
      </c>
      <c r="I4" s="18" t="s">
        <v>17</v>
      </c>
      <c r="J4" t="s">
        <v>9</v>
      </c>
      <c r="K4" s="16">
        <v>8200</v>
      </c>
      <c r="L4" s="1">
        <f t="shared" si="0"/>
        <v>0</v>
      </c>
      <c r="M4" t="s">
        <v>69</v>
      </c>
      <c r="N4" t="s">
        <v>83</v>
      </c>
    </row>
    <row r="5" spans="1:14" x14ac:dyDescent="0.3">
      <c r="A5" t="s">
        <v>49</v>
      </c>
      <c r="B5" t="s">
        <v>18</v>
      </c>
      <c r="C5" t="s">
        <v>20</v>
      </c>
      <c r="D5" s="15">
        <v>46299</v>
      </c>
      <c r="E5" s="15">
        <v>46266</v>
      </c>
      <c r="F5" s="15">
        <v>46295</v>
      </c>
      <c r="G5" s="1">
        <v>15000</v>
      </c>
      <c r="H5" t="s">
        <v>50</v>
      </c>
      <c r="I5" s="18" t="s">
        <v>10</v>
      </c>
      <c r="J5" t="s">
        <v>19</v>
      </c>
      <c r="K5" s="16">
        <v>15000</v>
      </c>
      <c r="L5" s="1">
        <f t="shared" si="0"/>
        <v>0</v>
      </c>
      <c r="M5" t="s">
        <v>69</v>
      </c>
      <c r="N5" t="s">
        <v>84</v>
      </c>
    </row>
    <row r="6" spans="1:14" x14ac:dyDescent="0.3">
      <c r="A6" t="s">
        <v>51</v>
      </c>
      <c r="B6" t="s">
        <v>21</v>
      </c>
      <c r="C6" t="s">
        <v>22</v>
      </c>
      <c r="D6" s="15">
        <v>46296</v>
      </c>
      <c r="E6" s="15">
        <v>46266</v>
      </c>
      <c r="F6" s="15">
        <v>46295</v>
      </c>
      <c r="G6" s="1">
        <v>6000</v>
      </c>
      <c r="H6" t="s">
        <v>52</v>
      </c>
      <c r="I6" s="18" t="s">
        <v>17</v>
      </c>
      <c r="J6" t="s">
        <v>19</v>
      </c>
      <c r="K6" s="16">
        <v>6000</v>
      </c>
      <c r="L6" s="1">
        <f t="shared" si="0"/>
        <v>0</v>
      </c>
      <c r="M6" t="s">
        <v>69</v>
      </c>
      <c r="N6" t="s">
        <v>85</v>
      </c>
    </row>
    <row r="7" spans="1:14" x14ac:dyDescent="0.3">
      <c r="A7" t="s">
        <v>53</v>
      </c>
      <c r="B7" t="s">
        <v>24</v>
      </c>
      <c r="C7" t="s">
        <v>25</v>
      </c>
      <c r="D7" s="15">
        <v>46298</v>
      </c>
      <c r="E7" s="15">
        <v>46235</v>
      </c>
      <c r="F7" s="15">
        <v>46265</v>
      </c>
      <c r="G7" s="1">
        <v>3200</v>
      </c>
      <c r="H7" t="s">
        <v>54</v>
      </c>
      <c r="I7" s="18" t="s">
        <v>17</v>
      </c>
      <c r="J7" t="s">
        <v>19</v>
      </c>
      <c r="K7" s="16">
        <v>3200</v>
      </c>
      <c r="L7" s="1">
        <f t="shared" si="0"/>
        <v>0</v>
      </c>
      <c r="M7" t="s">
        <v>71</v>
      </c>
      <c r="N7" t="s">
        <v>86</v>
      </c>
    </row>
    <row r="8" spans="1:14" x14ac:dyDescent="0.3">
      <c r="A8" t="s">
        <v>55</v>
      </c>
      <c r="B8" t="s">
        <v>26</v>
      </c>
      <c r="C8" t="s">
        <v>28</v>
      </c>
      <c r="D8" s="15">
        <v>46299</v>
      </c>
      <c r="E8" s="15">
        <v>46266</v>
      </c>
      <c r="F8" s="15">
        <v>46295</v>
      </c>
      <c r="G8" s="1">
        <v>9500</v>
      </c>
      <c r="H8" t="s">
        <v>56</v>
      </c>
      <c r="I8" s="18" t="s">
        <v>10</v>
      </c>
      <c r="J8" t="s">
        <v>27</v>
      </c>
      <c r="K8" s="16">
        <v>9500</v>
      </c>
      <c r="L8" s="1">
        <f t="shared" si="0"/>
        <v>0</v>
      </c>
      <c r="M8" t="s">
        <v>69</v>
      </c>
      <c r="N8" t="s">
        <v>87</v>
      </c>
    </row>
    <row r="9" spans="1:14" x14ac:dyDescent="0.3">
      <c r="A9" t="s">
        <v>57</v>
      </c>
      <c r="B9" t="s">
        <v>32</v>
      </c>
      <c r="C9" t="s">
        <v>33</v>
      </c>
      <c r="D9" s="15">
        <v>46300</v>
      </c>
      <c r="E9" s="15">
        <v>46280</v>
      </c>
      <c r="F9" s="15">
        <v>46295</v>
      </c>
      <c r="G9" s="1">
        <v>4000</v>
      </c>
      <c r="H9" t="s">
        <v>58</v>
      </c>
      <c r="I9" s="18" t="s">
        <v>17</v>
      </c>
      <c r="J9" t="s">
        <v>9</v>
      </c>
      <c r="K9" s="16">
        <v>4000</v>
      </c>
      <c r="L9" s="1">
        <f t="shared" si="0"/>
        <v>0</v>
      </c>
      <c r="M9" t="s">
        <v>69</v>
      </c>
      <c r="N9" t="s">
        <v>88</v>
      </c>
    </row>
    <row r="10" spans="1:14" x14ac:dyDescent="0.3">
      <c r="A10" t="s">
        <v>59</v>
      </c>
      <c r="B10" t="s">
        <v>60</v>
      </c>
      <c r="C10" t="s">
        <v>61</v>
      </c>
      <c r="D10" s="15">
        <v>46301</v>
      </c>
      <c r="E10" s="15">
        <v>46266</v>
      </c>
      <c r="F10" s="15">
        <v>46295</v>
      </c>
      <c r="G10" s="1">
        <v>3500</v>
      </c>
      <c r="H10" t="s">
        <v>62</v>
      </c>
      <c r="I10" s="18" t="s">
        <v>75</v>
      </c>
      <c r="J10" t="s">
        <v>75</v>
      </c>
      <c r="K10" s="16">
        <v>0</v>
      </c>
      <c r="L10" s="1">
        <v>0</v>
      </c>
      <c r="M10" t="s">
        <v>80</v>
      </c>
      <c r="N10" t="s">
        <v>76</v>
      </c>
    </row>
  </sheetData>
  <conditionalFormatting sqref="B2:B10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ED062-2190-487F-8FCF-02CBE0E0162A}">
  <dimension ref="A1:I12"/>
  <sheetViews>
    <sheetView tabSelected="1" workbookViewId="0">
      <selection activeCell="E2" sqref="E2"/>
    </sheetView>
  </sheetViews>
  <sheetFormatPr defaultRowHeight="14.4" x14ac:dyDescent="0.3"/>
  <cols>
    <col min="1" max="1" width="17" bestFit="1" customWidth="1"/>
    <col min="2" max="2" width="23.109375" bestFit="1" customWidth="1"/>
    <col min="5" max="5" width="23.21875" customWidth="1"/>
    <col min="7" max="7" width="23.44140625" customWidth="1"/>
    <col min="9" max="9" width="29.6640625" bestFit="1" customWidth="1"/>
  </cols>
  <sheetData>
    <row r="1" spans="1:9" ht="15.6" x14ac:dyDescent="0.3">
      <c r="A1" s="17" t="s">
        <v>74</v>
      </c>
      <c r="E1" s="17" t="s">
        <v>78</v>
      </c>
      <c r="G1" s="17" t="s">
        <v>77</v>
      </c>
      <c r="I1" s="17" t="s">
        <v>79</v>
      </c>
    </row>
    <row r="2" spans="1:9" x14ac:dyDescent="0.3">
      <c r="A2" s="12" t="s">
        <v>73</v>
      </c>
      <c r="B2" t="s">
        <v>64</v>
      </c>
      <c r="E2" s="1" cm="1">
        <f t="array" ref="E2">SUM(_xlfn.XLOOKUP(MediaOrder[Invoice_Recived],InvoiceLog[Invoice_Num],InvoiceLog[Billed_Amount],0))</f>
        <v>62750</v>
      </c>
      <c r="G2" s="16">
        <f>SUMIF(InvoiceLog[Audit_Status],InvoiceLog[[#This Row],[Audit_Status]],InvoiceLog[Approved_Budget])</f>
        <v>54700</v>
      </c>
      <c r="I2" s="1">
        <f>B12-G2</f>
        <v>15900</v>
      </c>
    </row>
    <row r="3" spans="1:9" x14ac:dyDescent="0.3">
      <c r="A3" s="13" t="s">
        <v>9</v>
      </c>
      <c r="B3" s="1">
        <v>28700</v>
      </c>
    </row>
    <row r="4" spans="1:9" x14ac:dyDescent="0.3">
      <c r="A4" s="14" t="s">
        <v>10</v>
      </c>
      <c r="B4" s="1">
        <v>16500</v>
      </c>
    </row>
    <row r="5" spans="1:9" x14ac:dyDescent="0.3">
      <c r="A5" s="14" t="s">
        <v>17</v>
      </c>
      <c r="B5" s="1">
        <v>12200</v>
      </c>
    </row>
    <row r="6" spans="1:9" x14ac:dyDescent="0.3">
      <c r="A6" s="13" t="s">
        <v>19</v>
      </c>
      <c r="B6" s="1">
        <v>24200</v>
      </c>
    </row>
    <row r="7" spans="1:9" x14ac:dyDescent="0.3">
      <c r="A7" s="14" t="s">
        <v>10</v>
      </c>
      <c r="B7" s="1">
        <v>15000</v>
      </c>
    </row>
    <row r="8" spans="1:9" x14ac:dyDescent="0.3">
      <c r="A8" s="14" t="s">
        <v>17</v>
      </c>
      <c r="B8" s="1">
        <v>9200</v>
      </c>
    </row>
    <row r="9" spans="1:9" x14ac:dyDescent="0.3">
      <c r="A9" s="13" t="s">
        <v>27</v>
      </c>
      <c r="B9" s="1">
        <v>17700</v>
      </c>
    </row>
    <row r="10" spans="1:9" x14ac:dyDescent="0.3">
      <c r="A10" s="14" t="s">
        <v>10</v>
      </c>
      <c r="B10" s="1">
        <v>12300</v>
      </c>
    </row>
    <row r="11" spans="1:9" x14ac:dyDescent="0.3">
      <c r="A11" s="14" t="s">
        <v>17</v>
      </c>
      <c r="B11" s="1">
        <v>5400</v>
      </c>
    </row>
    <row r="12" spans="1:9" x14ac:dyDescent="0.3">
      <c r="A12" s="13" t="s">
        <v>63</v>
      </c>
      <c r="B12" s="1">
        <v>70600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Media_Order</vt:lpstr>
      <vt:lpstr>Invoice_Log</vt:lpstr>
      <vt:lpstr>Budget_Summary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Dharambir Pradhan</dc:creator>
  <cp:lastModifiedBy>Dharambir Pradhan</cp:lastModifiedBy>
  <dcterms:created xsi:type="dcterms:W3CDTF">2026-10-12T13:29:44Z</dcterms:created>
  <dcterms:modified xsi:type="dcterms:W3CDTF">2026-10-17T03:27:06Z</dcterms:modified>
</cp:coreProperties>
</file>